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cité" sheetId="1" state="visible" r:id="rId3"/>
    <sheet name="Backlog" sheetId="2" state="visible" r:id="rId4"/>
    <sheet name="Planning" sheetId="3" state="visible" r:id="rId5"/>
    <sheet name="Coupes" sheetId="4" state="visible" r:id="rId6"/>
    <sheet name="Démarches" sheetId="5" state="visible" r:id="rId7"/>
    <sheet name="Décis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<sst xmlns="http://schemas.openxmlformats.org/spreadsheetml/2006/main" count="258" uniqueCount="163">
  <si>
    <t xml:space="preserve">Capacité d'Ahmed</t>
  </si>
  <si>
    <t xml:space="preserve">Paramètre</t>
  </si>
  <si>
    <t xml:space="preserve">Valeur</t>
  </si>
  <si>
    <t xml:space="preserve">Unité</t>
  </si>
  <si>
    <t xml:space="preserve">Source</t>
  </si>
  <si>
    <t xml:space="preserve">Heures brutes par semaine</t>
  </si>
  <si>
    <t xml:space="preserve">h</t>
  </si>
  <si>
    <t xml:space="preserve">Donnée d'Ahmed</t>
  </si>
  <si>
    <t xml:space="preserve">Réserve gestion / prospection / support / imprévus</t>
  </si>
  <si>
    <t xml:space="preserve">%</t>
  </si>
  <si>
    <t xml:space="preserve">Règle de planification n°3</t>
  </si>
  <si>
    <t xml:space="preserve">Capacité nette par semaine</t>
  </si>
  <si>
    <t xml:space="preserve">Semaines par sprint</t>
  </si>
  <si>
    <t xml:space="preserve">sem.</t>
  </si>
  <si>
    <t xml:space="preserve">Règle n°5</t>
  </si>
  <si>
    <t xml:space="preserve">Capacité nette par sprint</t>
  </si>
  <si>
    <t xml:space="preserve">Date de début du sprint 1</t>
  </si>
  <si>
    <t xml:space="preserve">Mardi 6 octobre 2026, donnée d'Ahmed</t>
  </si>
  <si>
    <t xml:space="preserve">Marge sur intégrations externes</t>
  </si>
  <si>
    <t xml:space="preserve">Règle n°4, déjà incluse dans les estimations marquées « Externe »</t>
  </si>
  <si>
    <t xml:space="preserve">Budget mensuel outils/API</t>
  </si>
  <si>
    <t xml:space="preserve">DH</t>
  </si>
  <si>
    <t xml:space="preserve">Légende : cellules jaunes à texte bleu = hypothèses modifiables ; texte noir = formules ; texte vert = liens vers une autre feuille.</t>
  </si>
  <si>
    <t xml:space="preserve">ID</t>
  </si>
  <si>
    <t xml:space="preserve">Jalon</t>
  </si>
  <si>
    <t xml:space="preserve">Story</t>
  </si>
  <si>
    <t xml:space="preserve">Sensible</t>
  </si>
  <si>
    <t xml:space="preserve">Externe (+30 % inclus)</t>
  </si>
  <si>
    <t xml:space="preserve">Sessions Claude Code</t>
  </si>
  <si>
    <t xml:space="preserve">Ahmed bas (h)</t>
  </si>
  <si>
    <t xml:space="preserve">Ahmed haut (h)</t>
  </si>
  <si>
    <t xml:space="preserve">Ahmed milieu (h)</t>
  </si>
  <si>
    <t xml:space="preserve">Sprint</t>
  </si>
  <si>
    <t xml:space="preserve">Statut</t>
  </si>
  <si>
    <t xml:space="preserve">Commentaire</t>
  </si>
  <si>
    <t xml:space="preserve">S0</t>
  </si>
  <si>
    <t xml:space="preserve">1 - Pilote centre</t>
  </si>
  <si>
    <t xml:space="preserve">Initialisation : Next.js, Supabase, CI, lint, i18n FR/AR avec RTL, fiches de décision</t>
  </si>
  <si>
    <t xml:space="preserve">Non</t>
  </si>
  <si>
    <t xml:space="preserve">À faire</t>
  </si>
  <si>
    <t xml:space="preserve">S1</t>
  </si>
  <si>
    <t xml:space="preserve">Multi-établissement, auth, rôles (direction, caisse, enseignant, parent), RLS</t>
  </si>
  <si>
    <t xml:space="preserve">Oui</t>
  </si>
  <si>
    <t xml:space="preserve">S2</t>
  </si>
  <si>
    <t xml:space="preserve">Élèves, tuteurs, groupes/classes, inscriptions, import CSV</t>
  </si>
  <si>
    <t xml:space="preserve">S3</t>
  </si>
  <si>
    <t xml:space="preserve">Absences : saisie enseignant, vue direction</t>
  </si>
  <si>
    <t xml:space="preserve">S4</t>
  </si>
  <si>
    <t xml:space="preserve">Notes simples : évaluations, saisie, consultation</t>
  </si>
  <si>
    <t xml:space="preserve">S5</t>
  </si>
  <si>
    <t xml:space="preserve">Plans tarifaires (forfait mensuel, par matière, annuel) et génération des échéances</t>
  </si>
  <si>
    <t xml:space="preserve">S6</t>
  </si>
  <si>
    <t xml:space="preserve">Encaissement espèces : reçus numérotés, annulation motivée, clôture de caisse</t>
  </si>
  <si>
    <t xml:space="preserve">S7</t>
  </si>
  <si>
    <t xml:space="preserve">Espace parent PWA : absences, notes, solde, reçus</t>
  </si>
  <si>
    <t xml:space="preserve">S8</t>
  </si>
  <si>
    <t xml:space="preserve">WhatsApp Cloud API : templates, webhooks, statuts, opt-in, coût par établissement</t>
  </si>
  <si>
    <t xml:space="preserve">S9</t>
  </si>
  <si>
    <t xml:space="preserve">Relances intelligentes : règles J-3, J+1, J+7, langue du parent, arrêt dès le paiement</t>
  </si>
  <si>
    <t xml:space="preserve">S10</t>
  </si>
  <si>
    <t xml:space="preserve">Traduction FR, AR et darija des messages, validée par un humain avant envoi</t>
  </si>
  <si>
    <t xml:space="preserve">S11</t>
  </si>
  <si>
    <t xml:space="preserve">Consentement des parents (CNDP), journal d'accès, mentions</t>
  </si>
  <si>
    <t xml:space="preserve">S12</t>
  </si>
  <si>
    <t xml:space="preserve">Mise en production, sauvegardes, monitoring, import des données du pilote</t>
  </si>
  <si>
    <t xml:space="preserve">S13</t>
  </si>
  <si>
    <t xml:space="preserve">2 - V1 écoles</t>
  </si>
  <si>
    <t xml:space="preserve">Paiement en ligne CMI (carte locale et internationale), callback, rapprochement</t>
  </si>
  <si>
    <t xml:space="preserve">S14</t>
  </si>
  <si>
    <t xml:space="preserve">SMS de secours via un fournisseur local</t>
  </si>
  <si>
    <t xml:space="preserve">S15</t>
  </si>
  <si>
    <t xml:space="preserve">Assistant IA parents sur WhatsApp : FAQ par école, escalade humaine, filtrage, transparence</t>
  </si>
  <si>
    <t xml:space="preserve">S16</t>
  </si>
  <si>
    <t xml:space="preserve">Spécificités école : année, trimestres, bulletin simple, export Massar</t>
  </si>
  <si>
    <t xml:space="preserve">S17</t>
  </si>
  <si>
    <t xml:space="preserve">Messagerie dans l'application, traduction des réponses des parents</t>
  </si>
  <si>
    <t xml:space="preserve">Total Jalon 1</t>
  </si>
  <si>
    <t xml:space="preserve">Total Jalon 2</t>
  </si>
  <si>
    <t xml:space="preserve">Total V1</t>
  </si>
  <si>
    <t xml:space="preserve">Statut : À faire / En cours / Fait / Bloqué / Coupé. Le temps d'Ahmed couvre lancer les prompts, relire, tester, corriger, déployer. Les stories « Externe » incluent déjà la marge de 30 %.</t>
  </si>
  <si>
    <t xml:space="preserve">Début</t>
  </si>
  <si>
    <t xml:space="preserve">Fin</t>
  </si>
  <si>
    <t xml:space="preserve">Stories</t>
  </si>
  <si>
    <t xml:space="preserve">Heures planifiées (milieu)</t>
  </si>
  <si>
    <t xml:space="preserve">Capacité nette</t>
  </si>
  <si>
    <t xml:space="preserve">Marge</t>
  </si>
  <si>
    <t xml:space="preserve">Heures fait</t>
  </si>
  <si>
    <t xml:space="preserve">S0, S1, S2</t>
  </si>
  <si>
    <t xml:space="preserve">S3, S4, S5</t>
  </si>
  <si>
    <t xml:space="preserve">S6, S7</t>
  </si>
  <si>
    <t xml:space="preserve">S8, S9</t>
  </si>
  <si>
    <t xml:space="preserve">S10, S11, S12 + mise en service pilote</t>
  </si>
  <si>
    <t xml:space="preserve">Pilote du centre en service à la fin du sprint</t>
  </si>
  <si>
    <t xml:space="preserve">S13 (CMI)</t>
  </si>
  <si>
    <t xml:space="preserve">Coïncide avec le premier support du pilote</t>
  </si>
  <si>
    <t xml:space="preserve">S15, S14</t>
  </si>
  <si>
    <t xml:space="preserve">S16, S17</t>
  </si>
  <si>
    <t xml:space="preserve">Total</t>
  </si>
  <si>
    <t xml:space="preserve">Scénarios sur 8 sprints</t>
  </si>
  <si>
    <t xml:space="preserve">Scénario</t>
  </si>
  <si>
    <t xml:space="preserve">Estimé (h)</t>
  </si>
  <si>
    <t xml:space="preserve">Capacité (h)</t>
  </si>
  <si>
    <t xml:space="preserve">Écart (h)</t>
  </si>
  <si>
    <t xml:space="preserve">Sprints nécessaires</t>
  </si>
  <si>
    <t xml:space="preserve">Bas</t>
  </si>
  <si>
    <t xml:space="preserve">Milieu</t>
  </si>
  <si>
    <t xml:space="preserve">Haut</t>
  </si>
  <si>
    <t xml:space="preserve">Écart positif = marge ; écart négatif (rouge) = dépassement à couvrir par les coupes (feuille Coupes).</t>
  </si>
  <si>
    <t xml:space="preserve">Ordre</t>
  </si>
  <si>
    <t xml:space="preserve">Coupe proposée</t>
  </si>
  <si>
    <t xml:space="preserve">Gain bas (h)</t>
  </si>
  <si>
    <t xml:space="preserve">Gain haut (h)</t>
  </si>
  <si>
    <t xml:space="preserve">Appliquée ?</t>
  </si>
  <si>
    <t xml:space="preserve">SMS de secours reporté après la V1 (WhatsApp + PWA suffisent au pilote)</t>
  </si>
  <si>
    <t xml:space="preserve">Messagerie en lecture seule, sans échange dans les deux sens</t>
  </si>
  <si>
    <t xml:space="preserve">Assistant : FAQ structurée par intention plutôt que RAG, escalade humaine systématique</t>
  </si>
  <si>
    <t xml:space="preserve">Notes minimales pour le centre, bulletin déplacé en S16</t>
  </si>
  <si>
    <t xml:space="preserve">Total gains possibles</t>
  </si>
  <si>
    <t xml:space="preserve">Hors coupes : traduction en darija et relances (différenciateurs).</t>
  </si>
  <si>
    <t xml:space="preserve">Démarche</t>
  </si>
  <si>
    <t xml:space="preserve">Lancer au sprint</t>
  </si>
  <si>
    <t xml:space="preserve">Bloque</t>
  </si>
  <si>
    <t xml:space="preserve">Date de dépôt</t>
  </si>
  <si>
    <t xml:space="preserve">Vérification Meta Business, compte WhatsApp Business et numéro</t>
  </si>
  <si>
    <t xml:space="preserve">1 (cette semaine)</t>
  </si>
  <si>
    <t xml:space="preserve">S8 (sprint 4)</t>
  </si>
  <si>
    <t xml:space="preserve">Soumission des templates WhatsApp (relance, reçu, absence)</t>
  </si>
  <si>
    <t xml:space="preserve">3</t>
  </si>
  <si>
    <t xml:space="preserve">Dossier CNDP (données de mineurs, transfert éventuel hors du Maroc)</t>
  </si>
  <si>
    <t xml:space="preserve">1</t>
  </si>
  <si>
    <t xml:space="preserve">Mise en service (sprint 5)</t>
  </si>
  <si>
    <t xml:space="preserve">Plus gros risque calendrier ; avis juridique recommandé</t>
  </si>
  <si>
    <t xml:space="preserve">Contact CMI ou banque pour le contrat marchand</t>
  </si>
  <si>
    <t xml:space="preserve">1-2</t>
  </si>
  <si>
    <t xml:space="preserve">S13 (sprint 6)</t>
  </si>
  <si>
    <t xml:space="preserve">Consentement écrit des parents du centre</t>
  </si>
  <si>
    <t xml:space="preserve">4</t>
  </si>
  <si>
    <t xml:space="preserve">Import des vraies données (S12)</t>
  </si>
  <si>
    <t xml:space="preserve">Contrat avec un fournisseur SMS</t>
  </si>
  <si>
    <t xml:space="preserve">5</t>
  </si>
  <si>
    <t xml:space="preserve">Prospection de 2 ou 3 écoles privées pilotes</t>
  </si>
  <si>
    <t xml:space="preserve">3 et suivants</t>
  </si>
  <si>
    <t xml:space="preserve">Validation jalon 2 et Massar</t>
  </si>
  <si>
    <t xml:space="preserve">Vérifier l'objet social de la SARL AU (édition de logiciels, services informatiques)</t>
  </si>
  <si>
    <t xml:space="preserve">Meta, CMI</t>
  </si>
  <si>
    <t xml:space="preserve">#</t>
  </si>
  <si>
    <t xml:space="preserve">Décision à trancher</t>
  </si>
  <si>
    <t xml:space="preserve">Options</t>
  </si>
  <si>
    <t xml:space="preserve">Recommandation Claude</t>
  </si>
  <si>
    <t xml:space="preserve">Échéance</t>
  </si>
  <si>
    <t xml:space="preserve">Décision d'Ahmed</t>
  </si>
  <si>
    <t xml:space="preserve">Découpage en deux jalons</t>
  </si>
  <si>
    <t xml:space="preserve">Pilote centre d'abord, CMI après mise en service / tout en un jalon</t>
  </si>
  <si>
    <t xml:space="preserve">Deux jalons</t>
  </si>
  <si>
    <t xml:space="preserve">Avant le sprint 1</t>
  </si>
  <si>
    <t xml:space="preserve">Hébergement des données</t>
  </si>
  <si>
    <t xml:space="preserve">Supabase UE + autorisation de transfert CNDP / hébergeur au Maroc</t>
  </si>
  <si>
    <t xml:space="preserve">Supabase UE + autorisation</t>
  </si>
  <si>
    <t xml:space="preserve">Avant le dépôt CNDP (sprint 1)</t>
  </si>
  <si>
    <t xml:space="preserve">Budget à la mise en service</t>
  </si>
  <si>
    <t xml:space="preserve">Augmenter le budget (~450 DH en plus) / faire payer le pilote dès décembre</t>
  </si>
  <si>
    <t xml:space="preserve">À trancher par Ahmed</t>
  </si>
  <si>
    <t xml:space="preserve">Avant le sprint 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</si>
</sst>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dd/mm/yyyy"/>
    <numFmt numFmtId="168" formatCode="#,##0"/>
    <numFmt numFmtId="169" formatCode="0.0;[RED]\-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12</v>
      </c>
      <c r="C3" s="3" t="s">
        <v>6</v>
      </c>
      <c r="D3" s="3" t="s">
        <v>7</v>
      </c>
    </row>
    <row r="4" customFormat="false" ht="15" hidden="false" customHeight="false" outlineLevel="0" collapsed="false">
      <c r="A4" s="3" t="s">
        <v>8</v>
      </c>
      <c r="B4" s="5" t="n">
        <v>0.3</v>
      </c>
      <c r="C4" s="3" t="s">
        <v>9</v>
      </c>
      <c r="D4" s="3" t="s">
        <v>10</v>
      </c>
    </row>
    <row r="5" customFormat="false" ht="15" hidden="false" customHeight="false" outlineLevel="0" collapsed="false">
      <c r="A5" s="3" t="s">
        <v>11</v>
      </c>
      <c r="B5" s="6" t="n">
        <f aca="false">B3*(1-B4)</f>
        <v>8.4</v>
      </c>
      <c r="C5" s="3" t="s">
        <v>6</v>
      </c>
      <c r="D5" s="3"/>
    </row>
    <row r="6" customFormat="false" ht="15" hidden="false" customHeight="false" outlineLevel="0" collapsed="false">
      <c r="A6" s="3" t="s">
        <v>12</v>
      </c>
      <c r="B6" s="7" t="n">
        <v>2</v>
      </c>
      <c r="C6" s="3" t="s">
        <v>13</v>
      </c>
      <c r="D6" s="3" t="s">
        <v>14</v>
      </c>
    </row>
    <row r="7" customFormat="false" ht="15" hidden="false" customHeight="false" outlineLevel="0" collapsed="false">
      <c r="A7" s="3" t="s">
        <v>15</v>
      </c>
      <c r="B7" s="6" t="n">
        <f aca="false">B5*B6</f>
        <v>16.8</v>
      </c>
      <c r="C7" s="3" t="s">
        <v>6</v>
      </c>
      <c r="D7" s="3"/>
    </row>
    <row r="8" customFormat="false" ht="15" hidden="false" customHeight="false" outlineLevel="0" collapsed="false">
      <c r="A8" s="3" t="s">
        <v>16</v>
      </c>
      <c r="B8" s="8" t="n">
        <v>46301</v>
      </c>
      <c r="C8" s="3"/>
      <c r="D8" s="3" t="s">
        <v>17</v>
      </c>
    </row>
    <row r="9" customFormat="false" ht="26.85" hidden="false" customHeight="false" outlineLevel="0" collapsed="false">
      <c r="A9" s="3" t="s">
        <v>18</v>
      </c>
      <c r="B9" s="5" t="n">
        <v>0.3</v>
      </c>
      <c r="C9" s="3" t="s">
        <v>9</v>
      </c>
      <c r="D9" s="3" t="s">
        <v>19</v>
      </c>
    </row>
    <row r="10" customFormat="false" ht="15" hidden="false" customHeight="false" outlineLevel="0" collapsed="false">
      <c r="A10" s="3" t="s">
        <v>20</v>
      </c>
      <c r="B10" s="9" t="n">
        <v>550</v>
      </c>
      <c r="C10" s="3" t="s">
        <v>21</v>
      </c>
      <c r="D10" s="3" t="s">
        <v>7</v>
      </c>
    </row>
    <row r="12" customFormat="false" ht="15" hidden="false" customHeight="false" outlineLevel="0" collapsed="false">
      <c r="A12" s="1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9.55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</row>
    <row r="2" customFormat="false" ht="26.85" hidden="false" customHeight="fals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38</v>
      </c>
      <c r="F2" s="11" t="n">
        <v>2</v>
      </c>
      <c r="G2" s="11" t="n">
        <v>3</v>
      </c>
      <c r="H2" s="11" t="n">
        <v>5</v>
      </c>
      <c r="I2" s="6" t="n">
        <f aca="false">(G2+H2)/2</f>
        <v>4</v>
      </c>
      <c r="J2" s="11" t="n">
        <v>1</v>
      </c>
      <c r="K2" s="11" t="s">
        <v>39</v>
      </c>
      <c r="L2" s="11"/>
    </row>
    <row r="3" customFormat="false" ht="15" hidden="false" customHeight="false" outlineLevel="0" collapsed="false">
      <c r="A3" s="3" t="s">
        <v>40</v>
      </c>
      <c r="B3" s="3" t="s">
        <v>36</v>
      </c>
      <c r="C3" s="3" t="s">
        <v>41</v>
      </c>
      <c r="D3" s="3" t="s">
        <v>42</v>
      </c>
      <c r="E3" s="3" t="s">
        <v>38</v>
      </c>
      <c r="F3" s="11" t="n">
        <v>3</v>
      </c>
      <c r="G3" s="11" t="n">
        <v>5</v>
      </c>
      <c r="H3" s="11" t="n">
        <v>8</v>
      </c>
      <c r="I3" s="6" t="n">
        <f aca="false">(G3+H3)/2</f>
        <v>6.5</v>
      </c>
      <c r="J3" s="11" t="n">
        <v>1</v>
      </c>
      <c r="K3" s="11" t="s">
        <v>39</v>
      </c>
      <c r="L3" s="11"/>
    </row>
    <row r="4" customFormat="false" ht="15" hidden="false" customHeight="false" outlineLevel="0" collapsed="false">
      <c r="A4" s="3" t="s">
        <v>43</v>
      </c>
      <c r="B4" s="3" t="s">
        <v>36</v>
      </c>
      <c r="C4" s="3" t="s">
        <v>44</v>
      </c>
      <c r="D4" s="3" t="s">
        <v>42</v>
      </c>
      <c r="E4" s="3" t="s">
        <v>38</v>
      </c>
      <c r="F4" s="11" t="n">
        <v>3</v>
      </c>
      <c r="G4" s="11" t="n">
        <v>4</v>
      </c>
      <c r="H4" s="11" t="n">
        <v>7</v>
      </c>
      <c r="I4" s="6" t="n">
        <f aca="false">(G4+H4)/2</f>
        <v>5.5</v>
      </c>
      <c r="J4" s="11" t="n">
        <v>1</v>
      </c>
      <c r="K4" s="11" t="s">
        <v>39</v>
      </c>
      <c r="L4" s="11"/>
    </row>
    <row r="5" customFormat="false" ht="15" hidden="false" customHeight="false" outlineLevel="0" collapsed="false">
      <c r="A5" s="3" t="s">
        <v>45</v>
      </c>
      <c r="B5" s="3" t="s">
        <v>36</v>
      </c>
      <c r="C5" s="3" t="s">
        <v>46</v>
      </c>
      <c r="D5" s="3" t="s">
        <v>38</v>
      </c>
      <c r="E5" s="3" t="s">
        <v>38</v>
      </c>
      <c r="F5" s="11" t="n">
        <v>2</v>
      </c>
      <c r="G5" s="11" t="n">
        <v>3</v>
      </c>
      <c r="H5" s="11" t="n">
        <v>5</v>
      </c>
      <c r="I5" s="6" t="n">
        <f aca="false">(G5+H5)/2</f>
        <v>4</v>
      </c>
      <c r="J5" s="11" t="n">
        <v>2</v>
      </c>
      <c r="K5" s="11" t="s">
        <v>39</v>
      </c>
      <c r="L5" s="11"/>
    </row>
    <row r="6" customFormat="false" ht="15" hidden="false" customHeight="false" outlineLevel="0" collapsed="false">
      <c r="A6" s="3" t="s">
        <v>47</v>
      </c>
      <c r="B6" s="3" t="s">
        <v>36</v>
      </c>
      <c r="C6" s="3" t="s">
        <v>48</v>
      </c>
      <c r="D6" s="3" t="s">
        <v>38</v>
      </c>
      <c r="E6" s="3" t="s">
        <v>38</v>
      </c>
      <c r="F6" s="11" t="n">
        <v>2</v>
      </c>
      <c r="G6" s="11" t="n">
        <v>3</v>
      </c>
      <c r="H6" s="11" t="n">
        <v>5</v>
      </c>
      <c r="I6" s="6" t="n">
        <f aca="false">(G6+H6)/2</f>
        <v>4</v>
      </c>
      <c r="J6" s="11" t="n">
        <v>2</v>
      </c>
      <c r="K6" s="11" t="s">
        <v>39</v>
      </c>
      <c r="L6" s="11"/>
    </row>
    <row r="7" customFormat="false" ht="26.85" hidden="false" customHeight="false" outlineLevel="0" collapsed="false">
      <c r="A7" s="3" t="s">
        <v>49</v>
      </c>
      <c r="B7" s="3" t="s">
        <v>36</v>
      </c>
      <c r="C7" s="3" t="s">
        <v>50</v>
      </c>
      <c r="D7" s="3" t="s">
        <v>42</v>
      </c>
      <c r="E7" s="3" t="s">
        <v>38</v>
      </c>
      <c r="F7" s="11" t="n">
        <v>3</v>
      </c>
      <c r="G7" s="11" t="n">
        <v>5</v>
      </c>
      <c r="H7" s="11" t="n">
        <v>8</v>
      </c>
      <c r="I7" s="6" t="n">
        <f aca="false">(G7+H7)/2</f>
        <v>6.5</v>
      </c>
      <c r="J7" s="11" t="n">
        <v>2</v>
      </c>
      <c r="K7" s="11" t="s">
        <v>39</v>
      </c>
      <c r="L7" s="11"/>
    </row>
    <row r="8" customFormat="false" ht="26.85" hidden="false" customHeight="false" outlineLevel="0" collapsed="false">
      <c r="A8" s="3" t="s">
        <v>51</v>
      </c>
      <c r="B8" s="3" t="s">
        <v>36</v>
      </c>
      <c r="C8" s="3" t="s">
        <v>52</v>
      </c>
      <c r="D8" s="3" t="s">
        <v>42</v>
      </c>
      <c r="E8" s="3" t="s">
        <v>38</v>
      </c>
      <c r="F8" s="11" t="n">
        <v>3</v>
      </c>
      <c r="G8" s="11" t="n">
        <v>5</v>
      </c>
      <c r="H8" s="11" t="n">
        <v>8</v>
      </c>
      <c r="I8" s="6" t="n">
        <f aca="false">(G8+H8)/2</f>
        <v>6.5</v>
      </c>
      <c r="J8" s="11" t="n">
        <v>3</v>
      </c>
      <c r="K8" s="11" t="s">
        <v>39</v>
      </c>
      <c r="L8" s="11"/>
    </row>
    <row r="9" customFormat="false" ht="15" hidden="false" customHeight="false" outlineLevel="0" collapsed="false">
      <c r="A9" s="3" t="s">
        <v>53</v>
      </c>
      <c r="B9" s="3" t="s">
        <v>36</v>
      </c>
      <c r="C9" s="3" t="s">
        <v>54</v>
      </c>
      <c r="D9" s="3" t="s">
        <v>38</v>
      </c>
      <c r="E9" s="3" t="s">
        <v>38</v>
      </c>
      <c r="F9" s="11" t="n">
        <v>3</v>
      </c>
      <c r="G9" s="11" t="n">
        <v>5</v>
      </c>
      <c r="H9" s="11" t="n">
        <v>8</v>
      </c>
      <c r="I9" s="6" t="n">
        <f aca="false">(G9+H9)/2</f>
        <v>6.5</v>
      </c>
      <c r="J9" s="11" t="n">
        <v>3</v>
      </c>
      <c r="K9" s="11" t="s">
        <v>39</v>
      </c>
      <c r="L9" s="11"/>
    </row>
    <row r="10" customFormat="false" ht="26.85" hidden="false" customHeight="false" outlineLevel="0" collapsed="false">
      <c r="A10" s="3" t="s">
        <v>55</v>
      </c>
      <c r="B10" s="3" t="s">
        <v>36</v>
      </c>
      <c r="C10" s="3" t="s">
        <v>56</v>
      </c>
      <c r="D10" s="3" t="s">
        <v>38</v>
      </c>
      <c r="E10" s="3" t="s">
        <v>42</v>
      </c>
      <c r="F10" s="11" t="n">
        <v>3</v>
      </c>
      <c r="G10" s="11" t="n">
        <v>8</v>
      </c>
      <c r="H10" s="11" t="n">
        <v>13</v>
      </c>
      <c r="I10" s="6" t="n">
        <f aca="false">(G10+H10)/2</f>
        <v>10.5</v>
      </c>
      <c r="J10" s="11" t="n">
        <v>4</v>
      </c>
      <c r="K10" s="11" t="s">
        <v>39</v>
      </c>
      <c r="L10" s="11"/>
    </row>
    <row r="11" customFormat="false" ht="26.85" hidden="false" customHeight="false" outlineLevel="0" collapsed="false">
      <c r="A11" s="3" t="s">
        <v>57</v>
      </c>
      <c r="B11" s="3" t="s">
        <v>36</v>
      </c>
      <c r="C11" s="3" t="s">
        <v>58</v>
      </c>
      <c r="D11" s="3" t="s">
        <v>38</v>
      </c>
      <c r="E11" s="3" t="s">
        <v>38</v>
      </c>
      <c r="F11" s="11" t="n">
        <v>2</v>
      </c>
      <c r="G11" s="11" t="n">
        <v>4</v>
      </c>
      <c r="H11" s="11" t="n">
        <v>6</v>
      </c>
      <c r="I11" s="6" t="n">
        <f aca="false">(G11+H11)/2</f>
        <v>5</v>
      </c>
      <c r="J11" s="11" t="n">
        <v>4</v>
      </c>
      <c r="K11" s="11" t="s">
        <v>39</v>
      </c>
      <c r="L11" s="11"/>
    </row>
    <row r="12" customFormat="false" ht="26.85" hidden="false" customHeight="false" outlineLevel="0" collapsed="false">
      <c r="A12" s="3" t="s">
        <v>59</v>
      </c>
      <c r="B12" s="3" t="s">
        <v>36</v>
      </c>
      <c r="C12" s="3" t="s">
        <v>60</v>
      </c>
      <c r="D12" s="3" t="s">
        <v>38</v>
      </c>
      <c r="E12" s="3" t="s">
        <v>42</v>
      </c>
      <c r="F12" s="11" t="n">
        <v>2</v>
      </c>
      <c r="G12" s="11" t="n">
        <v>5</v>
      </c>
      <c r="H12" s="11" t="n">
        <v>8</v>
      </c>
      <c r="I12" s="6" t="n">
        <f aca="false">(G12+H12)/2</f>
        <v>6.5</v>
      </c>
      <c r="J12" s="11" t="n">
        <v>5</v>
      </c>
      <c r="K12" s="11" t="s">
        <v>39</v>
      </c>
      <c r="L12" s="11"/>
    </row>
    <row r="13" customFormat="false" ht="15" hidden="false" customHeight="false" outlineLevel="0" collapsed="false">
      <c r="A13" s="3" t="s">
        <v>61</v>
      </c>
      <c r="B13" s="3" t="s">
        <v>36</v>
      </c>
      <c r="C13" s="3" t="s">
        <v>62</v>
      </c>
      <c r="D13" s="3" t="s">
        <v>42</v>
      </c>
      <c r="E13" s="3" t="s">
        <v>38</v>
      </c>
      <c r="F13" s="11" t="n">
        <v>2</v>
      </c>
      <c r="G13" s="11" t="n">
        <v>3</v>
      </c>
      <c r="H13" s="11" t="n">
        <v>5</v>
      </c>
      <c r="I13" s="6" t="n">
        <f aca="false">(G13+H13)/2</f>
        <v>4</v>
      </c>
      <c r="J13" s="11" t="n">
        <v>5</v>
      </c>
      <c r="K13" s="11" t="s">
        <v>39</v>
      </c>
      <c r="L13" s="11"/>
    </row>
    <row r="14" customFormat="false" ht="26.85" hidden="false" customHeight="false" outlineLevel="0" collapsed="false">
      <c r="A14" s="3" t="s">
        <v>63</v>
      </c>
      <c r="B14" s="3" t="s">
        <v>36</v>
      </c>
      <c r="C14" s="3" t="s">
        <v>64</v>
      </c>
      <c r="D14" s="3" t="s">
        <v>42</v>
      </c>
      <c r="E14" s="3" t="s">
        <v>38</v>
      </c>
      <c r="F14" s="11" t="n">
        <v>1</v>
      </c>
      <c r="G14" s="11" t="n">
        <v>3</v>
      </c>
      <c r="H14" s="11" t="n">
        <v>5</v>
      </c>
      <c r="I14" s="6" t="n">
        <f aca="false">(G14+H14)/2</f>
        <v>4</v>
      </c>
      <c r="J14" s="11" t="n">
        <v>5</v>
      </c>
      <c r="K14" s="11" t="s">
        <v>39</v>
      </c>
      <c r="L14" s="11"/>
    </row>
    <row r="15" customFormat="false" ht="26.85" hidden="false" customHeight="false" outlineLevel="0" collapsed="false">
      <c r="A15" s="3" t="s">
        <v>65</v>
      </c>
      <c r="B15" s="3" t="s">
        <v>66</v>
      </c>
      <c r="C15" s="3" t="s">
        <v>67</v>
      </c>
      <c r="D15" s="3" t="s">
        <v>42</v>
      </c>
      <c r="E15" s="3" t="s">
        <v>42</v>
      </c>
      <c r="F15" s="11" t="n">
        <v>4</v>
      </c>
      <c r="G15" s="11" t="n">
        <v>10</v>
      </c>
      <c r="H15" s="11" t="n">
        <v>16</v>
      </c>
      <c r="I15" s="6" t="n">
        <f aca="false">(G15+H15)/2</f>
        <v>13</v>
      </c>
      <c r="J15" s="11" t="n">
        <v>6</v>
      </c>
      <c r="K15" s="11" t="s">
        <v>39</v>
      </c>
      <c r="L15" s="11"/>
    </row>
    <row r="16" customFormat="false" ht="15" hidden="false" customHeight="false" outlineLevel="0" collapsed="false">
      <c r="A16" s="3" t="s">
        <v>68</v>
      </c>
      <c r="B16" s="3" t="s">
        <v>66</v>
      </c>
      <c r="C16" s="3" t="s">
        <v>69</v>
      </c>
      <c r="D16" s="3" t="s">
        <v>38</v>
      </c>
      <c r="E16" s="3" t="s">
        <v>42</v>
      </c>
      <c r="F16" s="11" t="n">
        <v>2</v>
      </c>
      <c r="G16" s="11" t="n">
        <v>4</v>
      </c>
      <c r="H16" s="11" t="n">
        <v>7</v>
      </c>
      <c r="I16" s="6" t="n">
        <f aca="false">(G16+H16)/2</f>
        <v>5.5</v>
      </c>
      <c r="J16" s="11" t="n">
        <v>7</v>
      </c>
      <c r="K16" s="11" t="s">
        <v>39</v>
      </c>
      <c r="L16" s="11"/>
    </row>
    <row r="17" customFormat="false" ht="26.85" hidden="false" customHeight="false" outlineLevel="0" collapsed="false">
      <c r="A17" s="3" t="s">
        <v>70</v>
      </c>
      <c r="B17" s="3" t="s">
        <v>66</v>
      </c>
      <c r="C17" s="3" t="s">
        <v>71</v>
      </c>
      <c r="D17" s="3" t="s">
        <v>38</v>
      </c>
      <c r="E17" s="3" t="s">
        <v>42</v>
      </c>
      <c r="F17" s="11" t="n">
        <v>3</v>
      </c>
      <c r="G17" s="11" t="n">
        <v>8</v>
      </c>
      <c r="H17" s="11" t="n">
        <v>13</v>
      </c>
      <c r="I17" s="6" t="n">
        <f aca="false">(G17+H17)/2</f>
        <v>10.5</v>
      </c>
      <c r="J17" s="11" t="n">
        <v>7</v>
      </c>
      <c r="K17" s="11" t="s">
        <v>39</v>
      </c>
      <c r="L17" s="11"/>
    </row>
    <row r="18" customFormat="false" ht="15" hidden="false" customHeight="false" outlineLevel="0" collapsed="false">
      <c r="A18" s="3" t="s">
        <v>72</v>
      </c>
      <c r="B18" s="3" t="s">
        <v>66</v>
      </c>
      <c r="C18" s="3" t="s">
        <v>73</v>
      </c>
      <c r="D18" s="3" t="s">
        <v>38</v>
      </c>
      <c r="E18" s="3" t="s">
        <v>42</v>
      </c>
      <c r="F18" s="11" t="n">
        <v>3</v>
      </c>
      <c r="G18" s="11" t="n">
        <v>7</v>
      </c>
      <c r="H18" s="11" t="n">
        <v>12</v>
      </c>
      <c r="I18" s="6" t="n">
        <f aca="false">(G18+H18)/2</f>
        <v>9.5</v>
      </c>
      <c r="J18" s="11" t="n">
        <v>8</v>
      </c>
      <c r="K18" s="11" t="s">
        <v>39</v>
      </c>
      <c r="L18" s="11"/>
    </row>
    <row r="19" customFormat="false" ht="15" hidden="false" customHeight="false" outlineLevel="0" collapsed="false">
      <c r="A19" s="3" t="s">
        <v>74</v>
      </c>
      <c r="B19" s="3" t="s">
        <v>66</v>
      </c>
      <c r="C19" s="3" t="s">
        <v>75</v>
      </c>
      <c r="D19" s="3" t="s">
        <v>38</v>
      </c>
      <c r="E19" s="3" t="s">
        <v>38</v>
      </c>
      <c r="F19" s="11" t="n">
        <v>2</v>
      </c>
      <c r="G19" s="11" t="n">
        <v>4</v>
      </c>
      <c r="H19" s="11" t="n">
        <v>6</v>
      </c>
      <c r="I19" s="6" t="n">
        <f aca="false">(G19+H19)/2</f>
        <v>5</v>
      </c>
      <c r="J19" s="11" t="n">
        <v>8</v>
      </c>
      <c r="K19" s="11" t="s">
        <v>39</v>
      </c>
      <c r="L19" s="11"/>
    </row>
    <row r="21" customFormat="false" ht="15" hidden="false" customHeight="false" outlineLevel="0" collapsed="false">
      <c r="C21" s="12" t="s">
        <v>76</v>
      </c>
      <c r="F21" s="13" t="n">
        <f aca="false">SUMIFS(F2:F19,$B$2:$B$19,"1 - Pilote centre")</f>
        <v>31</v>
      </c>
      <c r="G21" s="13" t="n">
        <f aca="false">SUMIFS(G2:G19,$B$2:$B$19,"1 - Pilote centre")</f>
        <v>56</v>
      </c>
      <c r="H21" s="13" t="n">
        <f aca="false">SUMIFS(H2:H19,$B$2:$B$19,"1 - Pilote centre")</f>
        <v>91</v>
      </c>
      <c r="I21" s="13" t="n">
        <f aca="false">SUMIFS(I2:I19,$B$2:$B$19,"1 - Pilote centre")</f>
        <v>73.5</v>
      </c>
    </row>
    <row r="22" customFormat="false" ht="15" hidden="false" customHeight="false" outlineLevel="0" collapsed="false">
      <c r="C22" s="12" t="s">
        <v>77</v>
      </c>
      <c r="F22" s="13" t="n">
        <f aca="false">SUMIFS(F2:F19,$B$2:$B$19,"2 - V1 écoles")</f>
        <v>14</v>
      </c>
      <c r="G22" s="13" t="n">
        <f aca="false">SUMIFS(G2:G19,$B$2:$B$19,"2 - V1 écoles")</f>
        <v>33</v>
      </c>
      <c r="H22" s="13" t="n">
        <f aca="false">SUMIFS(H2:H19,$B$2:$B$19,"2 - V1 écoles")</f>
        <v>54</v>
      </c>
      <c r="I22" s="13" t="n">
        <f aca="false">SUMIFS(I2:I19,$B$2:$B$19,"2 - V1 écoles")</f>
        <v>43.5</v>
      </c>
    </row>
    <row r="23" customFormat="false" ht="15" hidden="false" customHeight="false" outlineLevel="0" collapsed="false">
      <c r="C23" s="12" t="s">
        <v>78</v>
      </c>
      <c r="F23" s="13" t="n">
        <f aca="false">SUM(F2:F19)</f>
        <v>45</v>
      </c>
      <c r="G23" s="13" t="n">
        <f aca="false">SUM(G2:G19)</f>
        <v>89</v>
      </c>
      <c r="H23" s="13" t="n">
        <f aca="false">SUM(H2:H19)</f>
        <v>145</v>
      </c>
      <c r="I23" s="13" t="n">
        <f aca="false">SUM(I2:I19)</f>
        <v>117</v>
      </c>
    </row>
    <row r="25" customFormat="false" ht="15" hidden="false" customHeight="false" outlineLevel="0" collapsed="false">
      <c r="C25" s="10" t="s">
        <v>79</v>
      </c>
    </row>
  </sheetData>
  <dataValidations count="2">
    <dataValidation allowBlank="true" errorStyle="stop" operator="between" showDropDown="false" showErrorMessage="false" showInputMessage="false" sqref="K2:K19" type="list">
      <formula1>"À faire,En cours,Fait,Bloqué,Coupé"</formula1>
      <formula2>0</formula2>
    </dataValidation>
    <dataValidation allowBlank="false" errorStyle="stop" operator="between" showDropDown="false" showErrorMessage="false" showInputMessage="false" sqref="D2:E1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42"/>
  </cols>
  <sheetData>
    <row r="1" customFormat="false" ht="39.55" hidden="false" customHeight="false" outlineLevel="0" collapsed="false">
      <c r="A1" s="2" t="s">
        <v>32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34</v>
      </c>
    </row>
    <row r="2" customFormat="false" ht="15" hidden="false" customHeight="false" outlineLevel="0" collapsed="false">
      <c r="A2" s="3" t="n">
        <v>1</v>
      </c>
      <c r="B2" s="14" t="n">
        <f aca="false">Capacité!$B$8+(1-1)*Capacité!$B$6*7</f>
        <v>46301</v>
      </c>
      <c r="C2" s="15" t="n">
        <f aca="false">B2+Capacité!$B$6*7-1</f>
        <v>46314</v>
      </c>
      <c r="D2" s="3" t="s">
        <v>87</v>
      </c>
      <c r="E2" s="6" t="n">
        <f aca="false">SUMIFS(Backlog!$I$2:$I$19,Backlog!$J$2:$J$19,A2)</f>
        <v>16</v>
      </c>
      <c r="F2" s="16" t="n">
        <f aca="false">Capacité!$B$7</f>
        <v>16.8</v>
      </c>
      <c r="G2" s="17" t="n">
        <f aca="false">F2-E2</f>
        <v>0.799999999999997</v>
      </c>
      <c r="H2" s="6" t="n">
        <f aca="false">SUMIFS(Backlog!$I$2:$I$19,Backlog!$J$2:$J$19,A2,Backlog!$K$2:$K$19,"Fait")</f>
        <v>0</v>
      </c>
      <c r="I2" s="3"/>
    </row>
    <row r="3" customFormat="false" ht="15" hidden="false" customHeight="false" outlineLevel="0" collapsed="false">
      <c r="A3" s="3" t="n">
        <v>2</v>
      </c>
      <c r="B3" s="14" t="n">
        <f aca="false">Capacité!$B$8+(2-1)*Capacité!$B$6*7</f>
        <v>46315</v>
      </c>
      <c r="C3" s="15" t="n">
        <f aca="false">B3+Capacité!$B$6*7-1</f>
        <v>46328</v>
      </c>
      <c r="D3" s="3" t="s">
        <v>88</v>
      </c>
      <c r="E3" s="6" t="n">
        <f aca="false">SUMIFS(Backlog!$I$2:$I$19,Backlog!$J$2:$J$19,A3)</f>
        <v>14.5</v>
      </c>
      <c r="F3" s="16" t="n">
        <f aca="false">Capacité!$B$7</f>
        <v>16.8</v>
      </c>
      <c r="G3" s="17" t="n">
        <f aca="false">F3-E3</f>
        <v>2.3</v>
      </c>
      <c r="H3" s="6" t="n">
        <f aca="false">SUMIFS(Backlog!$I$2:$I$19,Backlog!$J$2:$J$19,A3,Backlog!$K$2:$K$19,"Fait")</f>
        <v>0</v>
      </c>
      <c r="I3" s="3"/>
    </row>
    <row r="4" customFormat="false" ht="15" hidden="false" customHeight="false" outlineLevel="0" collapsed="false">
      <c r="A4" s="3" t="n">
        <v>3</v>
      </c>
      <c r="B4" s="14" t="n">
        <f aca="false">Capacité!$B$8+(3-1)*Capacité!$B$6*7</f>
        <v>46329</v>
      </c>
      <c r="C4" s="15" t="n">
        <f aca="false">B4+Capacité!$B$6*7-1</f>
        <v>46342</v>
      </c>
      <c r="D4" s="3" t="s">
        <v>89</v>
      </c>
      <c r="E4" s="6" t="n">
        <f aca="false">SUMIFS(Backlog!$I$2:$I$19,Backlog!$J$2:$J$19,A4)</f>
        <v>13</v>
      </c>
      <c r="F4" s="16" t="n">
        <f aca="false">Capacité!$B$7</f>
        <v>16.8</v>
      </c>
      <c r="G4" s="17" t="n">
        <f aca="false">F4-E4</f>
        <v>3.8</v>
      </c>
      <c r="H4" s="6" t="n">
        <f aca="false">SUMIFS(Backlog!$I$2:$I$19,Backlog!$J$2:$J$19,A4,Backlog!$K$2:$K$19,"Fait")</f>
        <v>0</v>
      </c>
      <c r="I4" s="3"/>
    </row>
    <row r="5" customFormat="false" ht="15" hidden="false" customHeight="false" outlineLevel="0" collapsed="false">
      <c r="A5" s="3" t="n">
        <v>4</v>
      </c>
      <c r="B5" s="14" t="n">
        <f aca="false">Capacité!$B$8+(4-1)*Capacité!$B$6*7</f>
        <v>46343</v>
      </c>
      <c r="C5" s="15" t="n">
        <f aca="false">B5+Capacité!$B$6*7-1</f>
        <v>46356</v>
      </c>
      <c r="D5" s="3" t="s">
        <v>90</v>
      </c>
      <c r="E5" s="6" t="n">
        <f aca="false">SUMIFS(Backlog!$I$2:$I$19,Backlog!$J$2:$J$19,A5)</f>
        <v>15.5</v>
      </c>
      <c r="F5" s="16" t="n">
        <f aca="false">Capacité!$B$7</f>
        <v>16.8</v>
      </c>
      <c r="G5" s="17" t="n">
        <f aca="false">F5-E5</f>
        <v>1.3</v>
      </c>
      <c r="H5" s="6" t="n">
        <f aca="false">SUMIFS(Backlog!$I$2:$I$19,Backlog!$J$2:$J$19,A5,Backlog!$K$2:$K$19,"Fait")</f>
        <v>0</v>
      </c>
      <c r="I5" s="3"/>
    </row>
    <row r="6" customFormat="false" ht="15" hidden="false" customHeight="false" outlineLevel="0" collapsed="false">
      <c r="A6" s="3" t="n">
        <v>5</v>
      </c>
      <c r="B6" s="14" t="n">
        <f aca="false">Capacité!$B$8+(5-1)*Capacité!$B$6*7</f>
        <v>46357</v>
      </c>
      <c r="C6" s="15" t="n">
        <f aca="false">B6+Capacité!$B$6*7-1</f>
        <v>46370</v>
      </c>
      <c r="D6" s="3" t="s">
        <v>91</v>
      </c>
      <c r="E6" s="6" t="n">
        <f aca="false">SUMIFS(Backlog!$I$2:$I$19,Backlog!$J$2:$J$19,A6)</f>
        <v>14.5</v>
      </c>
      <c r="F6" s="16" t="n">
        <f aca="false">Capacité!$B$7</f>
        <v>16.8</v>
      </c>
      <c r="G6" s="17" t="n">
        <f aca="false">F6-E6</f>
        <v>2.3</v>
      </c>
      <c r="H6" s="6" t="n">
        <f aca="false">SUMIFS(Backlog!$I$2:$I$19,Backlog!$J$2:$J$19,A6,Backlog!$K$2:$K$19,"Fait")</f>
        <v>0</v>
      </c>
      <c r="I6" s="3" t="s">
        <v>92</v>
      </c>
    </row>
    <row r="7" customFormat="false" ht="15" hidden="false" customHeight="false" outlineLevel="0" collapsed="false">
      <c r="A7" s="3" t="n">
        <v>6</v>
      </c>
      <c r="B7" s="14" t="n">
        <f aca="false">Capacité!$B$8+(6-1)*Capacité!$B$6*7</f>
        <v>46371</v>
      </c>
      <c r="C7" s="15" t="n">
        <f aca="false">B7+Capacité!$B$6*7-1</f>
        <v>46384</v>
      </c>
      <c r="D7" s="3" t="s">
        <v>93</v>
      </c>
      <c r="E7" s="6" t="n">
        <f aca="false">SUMIFS(Backlog!$I$2:$I$19,Backlog!$J$2:$J$19,A7)</f>
        <v>13</v>
      </c>
      <c r="F7" s="16" t="n">
        <f aca="false">Capacité!$B$7</f>
        <v>16.8</v>
      </c>
      <c r="G7" s="17" t="n">
        <f aca="false">F7-E7</f>
        <v>3.8</v>
      </c>
      <c r="H7" s="6" t="n">
        <f aca="false">SUMIFS(Backlog!$I$2:$I$19,Backlog!$J$2:$J$19,A7,Backlog!$K$2:$K$19,"Fait")</f>
        <v>0</v>
      </c>
      <c r="I7" s="3" t="s">
        <v>94</v>
      </c>
    </row>
    <row r="8" customFormat="false" ht="15" hidden="false" customHeight="false" outlineLevel="0" collapsed="false">
      <c r="A8" s="3" t="n">
        <v>7</v>
      </c>
      <c r="B8" s="14" t="n">
        <f aca="false">Capacité!$B$8+(7-1)*Capacité!$B$6*7</f>
        <v>46385</v>
      </c>
      <c r="C8" s="15" t="n">
        <f aca="false">B8+Capacité!$B$6*7-1</f>
        <v>46398</v>
      </c>
      <c r="D8" s="3" t="s">
        <v>95</v>
      </c>
      <c r="E8" s="6" t="n">
        <f aca="false">SUMIFS(Backlog!$I$2:$I$19,Backlog!$J$2:$J$19,A8)</f>
        <v>16</v>
      </c>
      <c r="F8" s="16" t="n">
        <f aca="false">Capacité!$B$7</f>
        <v>16.8</v>
      </c>
      <c r="G8" s="17" t="n">
        <f aca="false">F8-E8</f>
        <v>0.799999999999997</v>
      </c>
      <c r="H8" s="6" t="n">
        <f aca="false">SUMIFS(Backlog!$I$2:$I$19,Backlog!$J$2:$J$19,A8,Backlog!$K$2:$K$19,"Fait")</f>
        <v>0</v>
      </c>
      <c r="I8" s="3"/>
    </row>
    <row r="9" customFormat="false" ht="15" hidden="false" customHeight="false" outlineLevel="0" collapsed="false">
      <c r="A9" s="3" t="n">
        <v>8</v>
      </c>
      <c r="B9" s="14" t="n">
        <f aca="false">Capacité!$B$8+(8-1)*Capacité!$B$6*7</f>
        <v>46399</v>
      </c>
      <c r="C9" s="15" t="n">
        <f aca="false">B9+Capacité!$B$6*7-1</f>
        <v>46412</v>
      </c>
      <c r="D9" s="3" t="s">
        <v>96</v>
      </c>
      <c r="E9" s="6" t="n">
        <f aca="false">SUMIFS(Backlog!$I$2:$I$19,Backlog!$J$2:$J$19,A9)</f>
        <v>14.5</v>
      </c>
      <c r="F9" s="16" t="n">
        <f aca="false">Capacité!$B$7</f>
        <v>16.8</v>
      </c>
      <c r="G9" s="17" t="n">
        <f aca="false">F9-E9</f>
        <v>2.3</v>
      </c>
      <c r="H9" s="6" t="n">
        <f aca="false">SUMIFS(Backlog!$I$2:$I$19,Backlog!$J$2:$J$19,A9,Backlog!$K$2:$K$19,"Fait")</f>
        <v>0</v>
      </c>
      <c r="I9" s="3"/>
    </row>
    <row r="10" customFormat="false" ht="15" hidden="false" customHeight="false" outlineLevel="0" collapsed="false">
      <c r="D10" s="12" t="s">
        <v>97</v>
      </c>
      <c r="E10" s="18" t="n">
        <f aca="false">SUM(E2:E9)</f>
        <v>117</v>
      </c>
      <c r="F10" s="18" t="n">
        <f aca="false">SUM(F2:F9)</f>
        <v>134.4</v>
      </c>
      <c r="G10" s="18" t="n">
        <f aca="false">SUM(G2:G9)</f>
        <v>17.4</v>
      </c>
      <c r="H10" s="18" t="n">
        <f aca="false">SUM(H2:H9)</f>
        <v>0</v>
      </c>
    </row>
    <row r="12" customFormat="false" ht="17.35" hidden="false" customHeight="false" outlineLevel="0" collapsed="false">
      <c r="A12" s="1" t="s">
        <v>98</v>
      </c>
    </row>
    <row r="13" customFormat="false" ht="26.85" hidden="false" customHeight="false" outlineLevel="0" collapsed="false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</row>
    <row r="14" customFormat="false" ht="15" hidden="false" customHeight="false" outlineLevel="0" collapsed="false">
      <c r="A14" s="3" t="s">
        <v>104</v>
      </c>
      <c r="B14" s="16" t="n">
        <f aca="false">SUM(Backlog!G2:G19)</f>
        <v>89</v>
      </c>
      <c r="C14" s="16" t="n">
        <f aca="false">Capacité!$B$7*8</f>
        <v>134.4</v>
      </c>
      <c r="D14" s="17" t="n">
        <f aca="false">C14-B14</f>
        <v>45.4</v>
      </c>
      <c r="E14" s="6" t="n">
        <f aca="false">B14/Capacité!$B$7</f>
        <v>5.29761904761905</v>
      </c>
    </row>
    <row r="15" customFormat="false" ht="15" hidden="false" customHeight="false" outlineLevel="0" collapsed="false">
      <c r="A15" s="3" t="s">
        <v>105</v>
      </c>
      <c r="B15" s="16" t="n">
        <f aca="false">SUM(Backlog!I2:I19)</f>
        <v>117</v>
      </c>
      <c r="C15" s="16" t="n">
        <f aca="false">Capacité!$B$7*8</f>
        <v>134.4</v>
      </c>
      <c r="D15" s="17" t="n">
        <f aca="false">C15-B15</f>
        <v>17.4</v>
      </c>
      <c r="E15" s="6" t="n">
        <f aca="false">B15/Capacité!$B$7</f>
        <v>6.96428571428572</v>
      </c>
    </row>
    <row r="16" customFormat="false" ht="15" hidden="false" customHeight="false" outlineLevel="0" collapsed="false">
      <c r="A16" s="3" t="s">
        <v>106</v>
      </c>
      <c r="B16" s="16" t="n">
        <f aca="false">SUM(Backlog!H2:H19)</f>
        <v>145</v>
      </c>
      <c r="C16" s="16" t="n">
        <f aca="false">Capacité!$B$7*8</f>
        <v>134.4</v>
      </c>
      <c r="D16" s="17" t="n">
        <f aca="false">C16-B16</f>
        <v>-10.6</v>
      </c>
      <c r="E16" s="6" t="n">
        <f aca="false">B16/Capacité!$B$7</f>
        <v>8.63095238095238</v>
      </c>
    </row>
    <row r="18" customFormat="false" ht="15" hidden="false" customHeight="false" outlineLevel="0" collapsed="false">
      <c r="A18" s="1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75"/>
    <col collapsed="false" customWidth="true" hidden="false" outlineLevel="0" max="5" min="4" style="0" width="12"/>
    <col collapsed="false" customWidth="true" hidden="false" outlineLevel="0" max="6" min="6" style="0" width="11"/>
  </cols>
  <sheetData>
    <row r="1" customFormat="false" ht="26.85" hidden="false" customHeight="false" outlineLevel="0" collapsed="false">
      <c r="A1" s="2" t="s">
        <v>108</v>
      </c>
      <c r="B1" s="2" t="s">
        <v>25</v>
      </c>
      <c r="C1" s="2" t="s">
        <v>109</v>
      </c>
      <c r="D1" s="2" t="s">
        <v>110</v>
      </c>
      <c r="E1" s="2" t="s">
        <v>111</v>
      </c>
      <c r="F1" s="2" t="s">
        <v>112</v>
      </c>
    </row>
    <row r="2" customFormat="false" ht="15" hidden="false" customHeight="false" outlineLevel="0" collapsed="false">
      <c r="A2" s="3" t="n">
        <v>1</v>
      </c>
      <c r="B2" s="3" t="s">
        <v>68</v>
      </c>
      <c r="C2" s="3" t="s">
        <v>113</v>
      </c>
      <c r="D2" s="11" t="n">
        <v>4</v>
      </c>
      <c r="E2" s="11" t="n">
        <v>7</v>
      </c>
      <c r="F2" s="11" t="s">
        <v>38</v>
      </c>
    </row>
    <row r="3" customFormat="false" ht="15" hidden="false" customHeight="false" outlineLevel="0" collapsed="false">
      <c r="A3" s="3" t="n">
        <v>2</v>
      </c>
      <c r="B3" s="3" t="s">
        <v>74</v>
      </c>
      <c r="C3" s="3" t="s">
        <v>114</v>
      </c>
      <c r="D3" s="11" t="n">
        <v>3</v>
      </c>
      <c r="E3" s="11" t="n">
        <v>3</v>
      </c>
      <c r="F3" s="11" t="s">
        <v>38</v>
      </c>
    </row>
    <row r="4" customFormat="false" ht="26.85" hidden="false" customHeight="false" outlineLevel="0" collapsed="false">
      <c r="A4" s="3" t="n">
        <v>3</v>
      </c>
      <c r="B4" s="3" t="s">
        <v>70</v>
      </c>
      <c r="C4" s="3" t="s">
        <v>115</v>
      </c>
      <c r="D4" s="11" t="n">
        <v>3</v>
      </c>
      <c r="E4" s="11" t="n">
        <v>3</v>
      </c>
      <c r="F4" s="11" t="s">
        <v>38</v>
      </c>
    </row>
    <row r="5" customFormat="false" ht="15" hidden="false" customHeight="false" outlineLevel="0" collapsed="false">
      <c r="A5" s="3" t="n">
        <v>4</v>
      </c>
      <c r="B5" s="3" t="s">
        <v>47</v>
      </c>
      <c r="C5" s="3" t="s">
        <v>116</v>
      </c>
      <c r="D5" s="11" t="n">
        <v>2</v>
      </c>
      <c r="E5" s="11" t="n">
        <v>2</v>
      </c>
      <c r="F5" s="11" t="s">
        <v>38</v>
      </c>
    </row>
    <row r="6" customFormat="false" ht="15" hidden="false" customHeight="false" outlineLevel="0" collapsed="false">
      <c r="C6" s="12" t="s">
        <v>117</v>
      </c>
      <c r="D6" s="12" t="n">
        <f aca="false">SUM(D2:D5)</f>
        <v>12</v>
      </c>
      <c r="E6" s="12" t="n">
        <f aca="false">SUM(E2:E5)</f>
        <v>15</v>
      </c>
    </row>
    <row r="8" customFormat="false" ht="15" hidden="false" customHeight="false" outlineLevel="0" collapsed="false">
      <c r="C8" s="10" t="s">
        <v>118</v>
      </c>
    </row>
  </sheetData>
  <dataValidations count="1">
    <dataValidation allowBlank="false" errorStyle="stop" operator="between" showDropDown="false" showErrorMessage="false" showInputMessage="false" sqref="F2:F5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45"/>
  </cols>
  <sheetData>
    <row r="1" customFormat="false" ht="26.85" hidden="false" customHeight="false" outlineLevel="0" collapsed="false">
      <c r="A1" s="2" t="s">
        <v>119</v>
      </c>
      <c r="B1" s="2" t="s">
        <v>120</v>
      </c>
      <c r="C1" s="2" t="s">
        <v>121</v>
      </c>
      <c r="D1" s="2" t="s">
        <v>33</v>
      </c>
      <c r="E1" s="2" t="s">
        <v>122</v>
      </c>
      <c r="F1" s="2" t="s">
        <v>34</v>
      </c>
    </row>
    <row r="2" customFormat="false" ht="26.85" hidden="false" customHeight="false" outlineLevel="0" collapsed="false">
      <c r="A2" s="3" t="s">
        <v>123</v>
      </c>
      <c r="B2" s="3" t="s">
        <v>124</v>
      </c>
      <c r="C2" s="3" t="s">
        <v>125</v>
      </c>
      <c r="D2" s="11" t="s">
        <v>39</v>
      </c>
      <c r="E2" s="19"/>
      <c r="F2" s="11"/>
    </row>
    <row r="3" customFormat="false" ht="15" hidden="false" customHeight="false" outlineLevel="0" collapsed="false">
      <c r="A3" s="3" t="s">
        <v>126</v>
      </c>
      <c r="B3" s="3" t="s">
        <v>127</v>
      </c>
      <c r="C3" s="3" t="s">
        <v>90</v>
      </c>
      <c r="D3" s="11" t="s">
        <v>39</v>
      </c>
      <c r="E3" s="19"/>
      <c r="F3" s="11"/>
    </row>
    <row r="4" customFormat="false" ht="26.85" hidden="false" customHeight="false" outlineLevel="0" collapsed="false">
      <c r="A4" s="3" t="s">
        <v>128</v>
      </c>
      <c r="B4" s="3" t="s">
        <v>129</v>
      </c>
      <c r="C4" s="3" t="s">
        <v>130</v>
      </c>
      <c r="D4" s="11" t="s">
        <v>39</v>
      </c>
      <c r="E4" s="19"/>
      <c r="F4" s="11" t="s">
        <v>131</v>
      </c>
    </row>
    <row r="5" customFormat="false" ht="15" hidden="false" customHeight="false" outlineLevel="0" collapsed="false">
      <c r="A5" s="3" t="s">
        <v>132</v>
      </c>
      <c r="B5" s="3" t="s">
        <v>133</v>
      </c>
      <c r="C5" s="3" t="s">
        <v>134</v>
      </c>
      <c r="D5" s="11" t="s">
        <v>39</v>
      </c>
      <c r="E5" s="19"/>
      <c r="F5" s="11"/>
    </row>
    <row r="6" customFormat="false" ht="26.85" hidden="false" customHeight="false" outlineLevel="0" collapsed="false">
      <c r="A6" s="3" t="s">
        <v>135</v>
      </c>
      <c r="B6" s="3" t="s">
        <v>136</v>
      </c>
      <c r="C6" s="3" t="s">
        <v>137</v>
      </c>
      <c r="D6" s="11" t="s">
        <v>39</v>
      </c>
      <c r="E6" s="19"/>
      <c r="F6" s="11"/>
    </row>
    <row r="7" customFormat="false" ht="15" hidden="false" customHeight="false" outlineLevel="0" collapsed="false">
      <c r="A7" s="3" t="s">
        <v>138</v>
      </c>
      <c r="B7" s="3" t="s">
        <v>139</v>
      </c>
      <c r="C7" s="3" t="s">
        <v>68</v>
      </c>
      <c r="D7" s="11" t="s">
        <v>39</v>
      </c>
      <c r="E7" s="19"/>
      <c r="F7" s="11"/>
    </row>
    <row r="8" customFormat="false" ht="15" hidden="false" customHeight="false" outlineLevel="0" collapsed="false">
      <c r="A8" s="3" t="s">
        <v>140</v>
      </c>
      <c r="B8" s="3" t="s">
        <v>141</v>
      </c>
      <c r="C8" s="3" t="s">
        <v>142</v>
      </c>
      <c r="D8" s="11" t="s">
        <v>39</v>
      </c>
      <c r="E8" s="19"/>
      <c r="F8" s="11"/>
    </row>
    <row r="9" customFormat="false" ht="26.85" hidden="false" customHeight="false" outlineLevel="0" collapsed="false">
      <c r="A9" s="3" t="s">
        <v>143</v>
      </c>
      <c r="B9" s="3" t="s">
        <v>129</v>
      </c>
      <c r="C9" s="3" t="s">
        <v>144</v>
      </c>
      <c r="D9" s="11" t="s">
        <v>39</v>
      </c>
      <c r="E9" s="19"/>
      <c r="F9" s="11"/>
    </row>
  </sheetData>
  <dataValidations count="1">
    <dataValidation allowBlank="false" errorStyle="stop" operator="between" showDropDown="false" showErrorMessage="false" showInputMessage="false" sqref="D2:D9" type="list">
      <formula1>"À faire,En cours,Fait,Bloqué"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2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</row>
    <row r="2" customFormat="false" ht="26.85" hidden="false" customHeight="false" outlineLevel="0" collapsed="false">
      <c r="A2" s="3" t="n">
        <v>1</v>
      </c>
      <c r="B2" s="3" t="s">
        <v>151</v>
      </c>
      <c r="C2" s="3" t="s">
        <v>152</v>
      </c>
      <c r="D2" s="3" t="s">
        <v>153</v>
      </c>
      <c r="E2" s="3" t="s">
        <v>154</v>
      </c>
      <c r="F2" s="7"/>
    </row>
    <row r="3" customFormat="false" ht="26.85" hidden="false" customHeight="false" outlineLevel="0" collapsed="false">
      <c r="A3" s="3" t="n">
        <v>2</v>
      </c>
      <c r="B3" s="3" t="s">
        <v>155</v>
      </c>
      <c r="C3" s="3" t="s">
        <v>156</v>
      </c>
      <c r="D3" s="3" t="s">
        <v>157</v>
      </c>
      <c r="E3" s="3" t="s">
        <v>158</v>
      </c>
      <c r="F3" s="7"/>
    </row>
    <row r="4" customFormat="false" ht="26.85" hidden="false" customHeight="false" outlineLevel="0" collapsed="false">
      <c r="A4" s="3" t="n">
        <v>3</v>
      </c>
      <c r="B4" s="3" t="s">
        <v>159</v>
      </c>
      <c r="C4" s="3" t="s">
        <v>160</v>
      </c>
      <c r="D4" s="3" t="s">
        <v>161</v>
      </c>
      <c r="E4" s="3" t="s">
        <v>162</v>
      </c>
      <c r="F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2026-10-04T21:46:18Z</dcterms:created>
  <dc:creator>openpyxl</dc:creator>
  <dc:description/>
  <dc:language>en-US</dc:language>
  <cp:lastModifiedBy/>
  <dcterms:modified xsi:type="dcterms:W3CDTF">2026-10-04T21:46:18Z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